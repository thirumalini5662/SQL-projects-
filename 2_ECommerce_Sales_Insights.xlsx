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Revenue_Summary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4" customWidth="1" min="4" max="4"/>
    <col width="18" customWidth="1" min="5" max="5"/>
    <col width="18" customWidth="1" min="6" max="6"/>
    <col width="14" customWidth="1" min="7" max="7"/>
    <col width="12" customWidth="1" min="8" max="8"/>
  </cols>
  <sheetData>
    <row r="1" ht="28" customHeight="1">
      <c r="A1" s="1" t="inlineStr">
        <is>
          <t>E-Commerce – Product Catalog</t>
        </is>
      </c>
    </row>
    <row r="2">
      <c r="A2" s="2" t="inlineStr">
        <is>
          <t>Product ID</t>
        </is>
      </c>
      <c r="B2" s="2" t="inlineStr">
        <is>
          <t>SKU</t>
        </is>
      </c>
      <c r="C2" s="2" t="inlineStr">
        <is>
          <t>Product Name</t>
        </is>
      </c>
      <c r="D2" s="2" t="inlineStr">
        <is>
          <t>Category</t>
        </is>
      </c>
      <c r="E2" s="2" t="inlineStr">
        <is>
          <t>Cost Price (₹)</t>
        </is>
      </c>
      <c r="F2" s="2" t="inlineStr">
        <is>
          <t>List Price (₹)</t>
        </is>
      </c>
      <c r="G2" s="2" t="inlineStr">
        <is>
          <t>Margin (₹)</t>
        </is>
      </c>
      <c r="H2" s="2" t="inlineStr">
        <is>
          <t>Margin %</t>
        </is>
      </c>
    </row>
    <row r="3">
      <c r="A3" s="3" t="n">
        <v>1</v>
      </c>
      <c r="B3" s="3" t="inlineStr">
        <is>
          <t>SKU-001</t>
        </is>
      </c>
      <c r="C3" s="3" t="inlineStr">
        <is>
          <t>Wireless Earbuds</t>
        </is>
      </c>
      <c r="D3" s="3" t="inlineStr">
        <is>
          <t>Electronics</t>
        </is>
      </c>
      <c r="E3" s="3" t="n">
        <v>850</v>
      </c>
      <c r="F3" s="3" t="n">
        <v>1999</v>
      </c>
      <c r="G3" s="3">
        <f>F3-E3</f>
        <v/>
      </c>
      <c r="H3" s="3">
        <f>G3/F3</f>
        <v/>
      </c>
    </row>
    <row r="4">
      <c r="A4" s="4" t="n">
        <v>2</v>
      </c>
      <c r="B4" s="4" t="inlineStr">
        <is>
          <t>SKU-002</t>
        </is>
      </c>
      <c r="C4" s="4" t="inlineStr">
        <is>
          <t>Running Shoes</t>
        </is>
      </c>
      <c r="D4" s="4" t="inlineStr">
        <is>
          <t>Footwear</t>
        </is>
      </c>
      <c r="E4" s="4" t="n">
        <v>1200</v>
      </c>
      <c r="F4" s="4" t="n">
        <v>2499</v>
      </c>
      <c r="G4" s="4">
        <f>F4-E4</f>
        <v/>
      </c>
      <c r="H4" s="4">
        <f>G4/F4</f>
        <v/>
      </c>
    </row>
    <row r="5">
      <c r="A5" s="3" t="n">
        <v>3</v>
      </c>
      <c r="B5" s="3" t="inlineStr">
        <is>
          <t>SKU-003</t>
        </is>
      </c>
      <c r="C5" s="3" t="inlineStr">
        <is>
          <t>Yoga Mat</t>
        </is>
      </c>
      <c r="D5" s="3" t="inlineStr">
        <is>
          <t>Sports</t>
        </is>
      </c>
      <c r="E5" s="3" t="n">
        <v>400</v>
      </c>
      <c r="F5" s="3" t="n">
        <v>899</v>
      </c>
      <c r="G5" s="3">
        <f>F5-E5</f>
        <v/>
      </c>
      <c r="H5" s="3">
        <f>G5/F5</f>
        <v/>
      </c>
    </row>
    <row r="6">
      <c r="A6" s="4" t="n">
        <v>4</v>
      </c>
      <c r="B6" s="4" t="inlineStr">
        <is>
          <t>SKU-004</t>
        </is>
      </c>
      <c r="C6" s="4" t="inlineStr">
        <is>
          <t>Face Serum 30ml</t>
        </is>
      </c>
      <c r="D6" s="4" t="inlineStr">
        <is>
          <t>Beauty</t>
        </is>
      </c>
      <c r="E6" s="4" t="n">
        <v>250</v>
      </c>
      <c r="F6" s="4" t="n">
        <v>699</v>
      </c>
      <c r="G6" s="4">
        <f>F6-E6</f>
        <v/>
      </c>
      <c r="H6" s="4">
        <f>G6/F6</f>
        <v/>
      </c>
    </row>
    <row r="7">
      <c r="A7" s="3" t="n">
        <v>5</v>
      </c>
      <c r="B7" s="3" t="inlineStr">
        <is>
          <t>SKU-005</t>
        </is>
      </c>
      <c r="C7" s="3" t="inlineStr">
        <is>
          <t>Backpack 30L</t>
        </is>
      </c>
      <c r="D7" s="3" t="inlineStr">
        <is>
          <t>Bags</t>
        </is>
      </c>
      <c r="E7" s="3" t="n">
        <v>700</v>
      </c>
      <c r="F7" s="3" t="n">
        <v>1499</v>
      </c>
      <c r="G7" s="3">
        <f>F7-E7</f>
        <v/>
      </c>
      <c r="H7" s="3">
        <f>G7/F7</f>
        <v/>
      </c>
    </row>
    <row r="8">
      <c r="A8" s="4" t="n">
        <v>6</v>
      </c>
      <c r="B8" s="4" t="inlineStr">
        <is>
          <t>SKU-006</t>
        </is>
      </c>
      <c r="C8" s="4" t="inlineStr">
        <is>
          <t>Smart Watch</t>
        </is>
      </c>
      <c r="D8" s="4" t="inlineStr">
        <is>
          <t>Electronics</t>
        </is>
      </c>
      <c r="E8" s="4" t="n">
        <v>3500</v>
      </c>
      <c r="F8" s="4" t="n">
        <v>7999</v>
      </c>
      <c r="G8" s="4">
        <f>F8-E8</f>
        <v/>
      </c>
      <c r="H8" s="4">
        <f>G8/F8</f>
        <v/>
      </c>
    </row>
    <row r="9">
      <c r="A9" s="3" t="n">
        <v>7</v>
      </c>
      <c r="B9" s="3" t="inlineStr">
        <is>
          <t>SKU-007</t>
        </is>
      </c>
      <c r="C9" s="3" t="inlineStr">
        <is>
          <t>Water Bottle 1L</t>
        </is>
      </c>
      <c r="D9" s="3" t="inlineStr">
        <is>
          <t>Sports</t>
        </is>
      </c>
      <c r="E9" s="3" t="n">
        <v>150</v>
      </c>
      <c r="F9" s="3" t="n">
        <v>399</v>
      </c>
      <c r="G9" s="3">
        <f>F9-E9</f>
        <v/>
      </c>
      <c r="H9" s="3">
        <f>G9/F9</f>
        <v/>
      </c>
    </row>
    <row r="10">
      <c r="A10" s="4" t="n">
        <v>8</v>
      </c>
      <c r="B10" s="4" t="inlineStr">
        <is>
          <t>SKU-008</t>
        </is>
      </c>
      <c r="C10" s="4" t="inlineStr">
        <is>
          <t>Sunglasses UV400</t>
        </is>
      </c>
      <c r="D10" s="4" t="inlineStr">
        <is>
          <t>Fashion</t>
        </is>
      </c>
      <c r="E10" s="4" t="n">
        <v>400</v>
      </c>
      <c r="F10" s="4" t="n">
        <v>1199</v>
      </c>
      <c r="G10" s="4">
        <f>F10-E10</f>
        <v/>
      </c>
      <c r="H10" s="4">
        <f>G10/F10</f>
        <v/>
      </c>
    </row>
    <row r="11">
      <c r="A11" s="3" t="n">
        <v>9</v>
      </c>
      <c r="B11" s="3" t="inlineStr">
        <is>
          <t>SKU-009</t>
        </is>
      </c>
      <c r="C11" s="3" t="inlineStr">
        <is>
          <t>Protein Powder 1kg</t>
        </is>
      </c>
      <c r="D11" s="3" t="inlineStr">
        <is>
          <t>Health</t>
        </is>
      </c>
      <c r="E11" s="3" t="n">
        <v>900</v>
      </c>
      <c r="F11" s="3" t="n">
        <v>1899</v>
      </c>
      <c r="G11" s="3">
        <f>F11-E11</f>
        <v/>
      </c>
      <c r="H11" s="3">
        <f>G11/F11</f>
        <v/>
      </c>
    </row>
    <row r="12">
      <c r="A12" s="4" t="n">
        <v>10</v>
      </c>
      <c r="B12" s="4" t="inlineStr">
        <is>
          <t>SKU-010</t>
        </is>
      </c>
      <c r="C12" s="4" t="inlineStr">
        <is>
          <t>Laptop Bag</t>
        </is>
      </c>
      <c r="D12" s="4" t="inlineStr">
        <is>
          <t>Bags</t>
        </is>
      </c>
      <c r="E12" s="4" t="n">
        <v>500</v>
      </c>
      <c r="F12" s="4" t="n">
        <v>1099</v>
      </c>
      <c r="G12" s="4">
        <f>F12-E12</f>
        <v/>
      </c>
      <c r="H12" s="4">
        <f>G12/F12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8" customWidth="1" min="5" max="5"/>
    <col width="18" customWidth="1" min="6" max="6"/>
    <col width="14" customWidth="1" min="7" max="7"/>
    <col width="14" customWidth="1" min="8" max="8"/>
  </cols>
  <sheetData>
    <row r="1" ht="28" customHeight="1">
      <c r="A1" s="1" t="inlineStr">
        <is>
          <t>E-Commerce – Order Records</t>
        </is>
      </c>
    </row>
    <row r="2">
      <c r="A2" s="2" t="inlineStr">
        <is>
          <t>Order ID</t>
        </is>
      </c>
      <c r="B2" s="2" t="inlineStr">
        <is>
          <t>Customer ID</t>
        </is>
      </c>
      <c r="C2" s="2" t="inlineStr">
        <is>
          <t>Order Date</t>
        </is>
      </c>
      <c r="D2" s="2" t="inlineStr">
        <is>
          <t>Product ID</t>
        </is>
      </c>
      <c r="E2" s="2" t="inlineStr">
        <is>
          <t>Qty</t>
        </is>
      </c>
      <c r="F2" s="2" t="inlineStr">
        <is>
          <t>Unit Price (₹)</t>
        </is>
      </c>
      <c r="G2" s="2" t="inlineStr">
        <is>
          <t>Total (₹)</t>
        </is>
      </c>
      <c r="H2" s="2" t="inlineStr">
        <is>
          <t>Channel</t>
        </is>
      </c>
    </row>
    <row r="3">
      <c r="A3" s="3" t="n">
        <v>10001</v>
      </c>
      <c r="B3" s="3" t="n">
        <v>201</v>
      </c>
      <c r="C3" s="3" t="inlineStr">
        <is>
          <t>2024-04-01</t>
        </is>
      </c>
      <c r="D3" s="3" t="n">
        <v>1</v>
      </c>
      <c r="E3" s="3" t="n">
        <v>2</v>
      </c>
      <c r="F3" s="3" t="n">
        <v>1999</v>
      </c>
      <c r="G3" s="3">
        <f>F3*E3</f>
        <v/>
      </c>
      <c r="H3" s="3" t="inlineStr">
        <is>
          <t>Google Ads</t>
        </is>
      </c>
    </row>
    <row r="4">
      <c r="A4" s="4" t="n">
        <v>10002</v>
      </c>
      <c r="B4" s="4" t="n">
        <v>202</v>
      </c>
      <c r="C4" s="4" t="inlineStr">
        <is>
          <t>2024-04-01</t>
        </is>
      </c>
      <c r="D4" s="4" t="n">
        <v>3</v>
      </c>
      <c r="E4" s="4" t="n">
        <v>1</v>
      </c>
      <c r="F4" s="4" t="n">
        <v>899</v>
      </c>
      <c r="G4" s="4">
        <f>F4*E4</f>
        <v/>
      </c>
      <c r="H4" s="4" t="inlineStr">
        <is>
          <t>Organic</t>
        </is>
      </c>
    </row>
    <row r="5">
      <c r="A5" s="3" t="n">
        <v>10003</v>
      </c>
      <c r="B5" s="3" t="n">
        <v>203</v>
      </c>
      <c r="C5" s="3" t="inlineStr">
        <is>
          <t>2024-04-02</t>
        </is>
      </c>
      <c r="D5" s="3" t="n">
        <v>6</v>
      </c>
      <c r="E5" s="3" t="n">
        <v>1</v>
      </c>
      <c r="F5" s="3" t="n">
        <v>7999</v>
      </c>
      <c r="G5" s="3">
        <f>F5*E5</f>
        <v/>
      </c>
      <c r="H5" s="3" t="inlineStr">
        <is>
          <t>Meta Ads</t>
        </is>
      </c>
    </row>
    <row r="6">
      <c r="A6" s="4" t="n">
        <v>10004</v>
      </c>
      <c r="B6" s="4" t="n">
        <v>204</v>
      </c>
      <c r="C6" s="4" t="inlineStr">
        <is>
          <t>2024-04-02</t>
        </is>
      </c>
      <c r="D6" s="4" t="n">
        <v>2</v>
      </c>
      <c r="E6" s="4" t="n">
        <v>2</v>
      </c>
      <c r="F6" s="4" t="n">
        <v>2499</v>
      </c>
      <c r="G6" s="4">
        <f>F6*E6</f>
        <v/>
      </c>
      <c r="H6" s="4" t="inlineStr">
        <is>
          <t>Email</t>
        </is>
      </c>
    </row>
    <row r="7">
      <c r="A7" s="3" t="n">
        <v>10005</v>
      </c>
      <c r="B7" s="3" t="n">
        <v>205</v>
      </c>
      <c r="C7" s="3" t="inlineStr">
        <is>
          <t>2024-04-03</t>
        </is>
      </c>
      <c r="D7" s="3" t="n">
        <v>4</v>
      </c>
      <c r="E7" s="3" t="n">
        <v>3</v>
      </c>
      <c r="F7" s="3" t="n">
        <v>699</v>
      </c>
      <c r="G7" s="3">
        <f>F7*E7</f>
        <v/>
      </c>
      <c r="H7" s="3" t="inlineStr">
        <is>
          <t>Google Ads</t>
        </is>
      </c>
    </row>
    <row r="8">
      <c r="A8" s="4" t="n">
        <v>10006</v>
      </c>
      <c r="B8" s="4" t="n">
        <v>201</v>
      </c>
      <c r="C8" s="4" t="inlineStr">
        <is>
          <t>2024-04-03</t>
        </is>
      </c>
      <c r="D8" s="4" t="n">
        <v>9</v>
      </c>
      <c r="E8" s="4" t="n">
        <v>2</v>
      </c>
      <c r="F8" s="4" t="n">
        <v>1899</v>
      </c>
      <c r="G8" s="4">
        <f>F8*E8</f>
        <v/>
      </c>
      <c r="H8" s="4" t="inlineStr">
        <is>
          <t>Organic</t>
        </is>
      </c>
    </row>
    <row r="9">
      <c r="A9" s="3" t="n">
        <v>10007</v>
      </c>
      <c r="B9" s="3" t="n">
        <v>206</v>
      </c>
      <c r="C9" s="3" t="inlineStr">
        <is>
          <t>2024-04-04</t>
        </is>
      </c>
      <c r="D9" s="3" t="n">
        <v>7</v>
      </c>
      <c r="E9" s="3" t="n">
        <v>4</v>
      </c>
      <c r="F9" s="3" t="n">
        <v>399</v>
      </c>
      <c r="G9" s="3">
        <f>F9*E9</f>
        <v/>
      </c>
      <c r="H9" s="3" t="inlineStr">
        <is>
          <t>Meta Ads</t>
        </is>
      </c>
    </row>
    <row r="10">
      <c r="A10" s="4" t="n">
        <v>10008</v>
      </c>
      <c r="B10" s="4" t="n">
        <v>207</v>
      </c>
      <c r="C10" s="4" t="inlineStr">
        <is>
          <t>2024-04-04</t>
        </is>
      </c>
      <c r="D10" s="4" t="n">
        <v>5</v>
      </c>
      <c r="E10" s="4" t="n">
        <v>1</v>
      </c>
      <c r="F10" s="4" t="n">
        <v>1499</v>
      </c>
      <c r="G10" s="4">
        <f>F10*E10</f>
        <v/>
      </c>
      <c r="H10" s="4" t="inlineStr">
        <is>
          <t>Email</t>
        </is>
      </c>
    </row>
    <row r="11">
      <c r="A11" s="3" t="n">
        <v>10009</v>
      </c>
      <c r="B11" s="3" t="n">
        <v>208</v>
      </c>
      <c r="C11" s="3" t="inlineStr">
        <is>
          <t>2024-04-05</t>
        </is>
      </c>
      <c r="D11" s="3" t="n">
        <v>8</v>
      </c>
      <c r="E11" s="3" t="n">
        <v>2</v>
      </c>
      <c r="F11" s="3" t="n">
        <v>1199</v>
      </c>
      <c r="G11" s="3">
        <f>F11*E11</f>
        <v/>
      </c>
      <c r="H11" s="3" t="inlineStr">
        <is>
          <t>Google Ads</t>
        </is>
      </c>
    </row>
    <row r="12">
      <c r="A12" s="4" t="n">
        <v>10010</v>
      </c>
      <c r="B12" s="4" t="n">
        <v>203</v>
      </c>
      <c r="C12" s="4" t="inlineStr">
        <is>
          <t>2024-04-05</t>
        </is>
      </c>
      <c r="D12" s="4" t="n">
        <v>1</v>
      </c>
      <c r="E12" s="4" t="n">
        <v>1</v>
      </c>
      <c r="F12" s="4" t="n">
        <v>1999</v>
      </c>
      <c r="G12" s="4">
        <f>F12*E12</f>
        <v/>
      </c>
      <c r="H12" s="4" t="inlineStr">
        <is>
          <t>Organic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6" customWidth="1" min="4" max="4"/>
    <col width="10" customWidth="1" min="5" max="5"/>
    <col width="22" customWidth="1" min="6" max="6"/>
  </cols>
  <sheetData>
    <row r="1" ht="28" customHeight="1">
      <c r="A1" s="1" t="inlineStr">
        <is>
          <t>E-Commerce – Revenue &amp; Channel Performance</t>
        </is>
      </c>
    </row>
    <row r="2">
      <c r="A2" s="2" t="inlineStr">
        <is>
          <t>Channel</t>
        </is>
      </c>
      <c r="B2" s="2" t="inlineStr">
        <is>
          <t>Orders</t>
        </is>
      </c>
      <c r="C2" s="2" t="inlineStr">
        <is>
          <t>Total Revenue (₹)</t>
        </is>
      </c>
      <c r="D2" s="2" t="inlineStr">
        <is>
          <t>Ad Spend (₹)</t>
        </is>
      </c>
      <c r="E2" s="2" t="inlineStr">
        <is>
          <t>ROAS</t>
        </is>
      </c>
      <c r="F2" s="2" t="inlineStr">
        <is>
          <t>Avg Order Value (₹)</t>
        </is>
      </c>
    </row>
    <row r="3">
      <c r="A3" s="3" t="inlineStr">
        <is>
          <t>Google Ads</t>
        </is>
      </c>
      <c r="B3" s="3" t="n">
        <v>145</v>
      </c>
      <c r="C3" s="3" t="n">
        <v>289500</v>
      </c>
      <c r="D3" s="3" t="n">
        <v>45000</v>
      </c>
      <c r="E3" s="3">
        <f>C3/D3</f>
        <v/>
      </c>
      <c r="F3" s="3">
        <f>C3/B3</f>
        <v/>
      </c>
    </row>
    <row r="4">
      <c r="A4" s="4" t="inlineStr">
        <is>
          <t>Meta Ads</t>
        </is>
      </c>
      <c r="B4" s="4" t="n">
        <v>98</v>
      </c>
      <c r="C4" s="4" t="n">
        <v>196000</v>
      </c>
      <c r="D4" s="4" t="n">
        <v>32000</v>
      </c>
      <c r="E4" s="4">
        <f>C4/D4</f>
        <v/>
      </c>
      <c r="F4" s="4">
        <f>C4/B4</f>
        <v/>
      </c>
    </row>
    <row r="5">
      <c r="A5" s="3" t="inlineStr">
        <is>
          <t>Email</t>
        </is>
      </c>
      <c r="B5" s="3" t="n">
        <v>67</v>
      </c>
      <c r="C5" s="3" t="n">
        <v>134000</v>
      </c>
      <c r="D5" s="3" t="n">
        <v>5000</v>
      </c>
      <c r="E5" s="3">
        <f>C5/D5</f>
        <v/>
      </c>
      <c r="F5" s="3">
        <f>C5/B5</f>
        <v/>
      </c>
    </row>
    <row r="6">
      <c r="A6" s="4" t="inlineStr">
        <is>
          <t>Organic</t>
        </is>
      </c>
      <c r="B6" s="4" t="n">
        <v>112</v>
      </c>
      <c r="C6" s="4" t="n">
        <v>224000</v>
      </c>
      <c r="D6" s="4" t="n">
        <v>0</v>
      </c>
      <c r="E6" s="4">
        <f>IF(D6=0,"N/A",C6/D6)</f>
        <v/>
      </c>
      <c r="F6" s="4">
        <f>C6/B6</f>
        <v/>
      </c>
    </row>
    <row r="7">
      <c r="A7" s="3" t="inlineStr">
        <is>
          <t>Referral</t>
        </is>
      </c>
      <c r="B7" s="3" t="n">
        <v>43</v>
      </c>
      <c r="C7" s="3" t="n">
        <v>86000</v>
      </c>
      <c r="D7" s="3" t="n">
        <v>8000</v>
      </c>
      <c r="E7" s="3">
        <f>C7/D7</f>
        <v/>
      </c>
      <c r="F7" s="3">
        <f>C7/B7</f>
        <v/>
      </c>
    </row>
    <row r="8">
      <c r="A8" s="5" t="inlineStr">
        <is>
          <t>TOTAL</t>
        </is>
      </c>
      <c r="B8" s="5">
        <f>SUM(B3:B7)</f>
        <v/>
      </c>
      <c r="C8" s="5">
        <f>SUM(C3:C7)</f>
        <v/>
      </c>
      <c r="D8" s="5">
        <f>SUM(D3:D7)</f>
        <v/>
      </c>
      <c r="E8" s="5" t="n"/>
      <c r="F8" s="5">
        <f>C8/B8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0" customWidth="1" min="4" max="4"/>
    <col width="14" customWidth="1" min="5" max="5"/>
    <col width="14" customWidth="1" min="6" max="6"/>
    <col width="20" customWidth="1" min="7" max="7"/>
  </cols>
  <sheetData>
    <row r="1" ht="28" customHeight="1">
      <c r="A1" s="1" t="inlineStr">
        <is>
          <t>E-Commerce – Customer Data</t>
        </is>
      </c>
    </row>
    <row r="2">
      <c r="A2" s="2" t="inlineStr">
        <is>
          <t>Customer ID</t>
        </is>
      </c>
      <c r="B2" s="2" t="inlineStr">
        <is>
          <t>Name</t>
        </is>
      </c>
      <c r="C2" s="2" t="inlineStr">
        <is>
          <t>Email</t>
        </is>
      </c>
      <c r="D2" s="2" t="inlineStr">
        <is>
          <t>Country</t>
        </is>
      </c>
      <c r="E2" s="2" t="inlineStr">
        <is>
          <t>Signup Date</t>
        </is>
      </c>
      <c r="F2" s="2" t="inlineStr">
        <is>
          <t>Total Orders</t>
        </is>
      </c>
      <c r="G2" s="2" t="inlineStr">
        <is>
          <t>Lifetime Value (₹)</t>
        </is>
      </c>
    </row>
    <row r="3">
      <c r="A3" s="3" t="n">
        <v>201</v>
      </c>
      <c r="B3" s="3" t="inlineStr">
        <is>
          <t>Riya Menon</t>
        </is>
      </c>
      <c r="C3" s="3" t="inlineStr">
        <is>
          <t>riya.m@mail.com</t>
        </is>
      </c>
      <c r="D3" s="3" t="inlineStr">
        <is>
          <t>India</t>
        </is>
      </c>
      <c r="E3" s="3" t="inlineStr">
        <is>
          <t>2023-06-01</t>
        </is>
      </c>
      <c r="F3" s="3" t="n">
        <v>8</v>
      </c>
      <c r="G3" s="3" t="n">
        <v>15200</v>
      </c>
    </row>
    <row r="4">
      <c r="A4" s="4" t="n">
        <v>202</v>
      </c>
      <c r="B4" s="4" t="inlineStr">
        <is>
          <t>Faisal Khan</t>
        </is>
      </c>
      <c r="C4" s="4" t="inlineStr">
        <is>
          <t>faisal.k@mail.com</t>
        </is>
      </c>
      <c r="D4" s="4" t="inlineStr">
        <is>
          <t>India</t>
        </is>
      </c>
      <c r="E4" s="4" t="inlineStr">
        <is>
          <t>2023-07-14</t>
        </is>
      </c>
      <c r="F4" s="4" t="n">
        <v>3</v>
      </c>
      <c r="G4" s="4" t="n">
        <v>4500</v>
      </c>
    </row>
    <row r="5">
      <c r="A5" s="3" t="n">
        <v>203</v>
      </c>
      <c r="B5" s="3" t="inlineStr">
        <is>
          <t>Sneha Pillai</t>
        </is>
      </c>
      <c r="C5" s="3" t="inlineStr">
        <is>
          <t>sneha.p@mail.com</t>
        </is>
      </c>
      <c r="D5" s="3" t="inlineStr">
        <is>
          <t>India</t>
        </is>
      </c>
      <c r="E5" s="3" t="inlineStr">
        <is>
          <t>2023-08-20</t>
        </is>
      </c>
      <c r="F5" s="3" t="n">
        <v>12</v>
      </c>
      <c r="G5" s="3" t="n">
        <v>28900</v>
      </c>
    </row>
    <row r="6">
      <c r="A6" s="4" t="n">
        <v>204</v>
      </c>
      <c r="B6" s="4" t="inlineStr">
        <is>
          <t>Tanmay Bose</t>
        </is>
      </c>
      <c r="C6" s="4" t="inlineStr">
        <is>
          <t>tanmay.b@mail.com</t>
        </is>
      </c>
      <c r="D6" s="4" t="inlineStr">
        <is>
          <t>India</t>
        </is>
      </c>
      <c r="E6" s="4" t="inlineStr">
        <is>
          <t>2023-09-01</t>
        </is>
      </c>
      <c r="F6" s="4" t="n">
        <v>5</v>
      </c>
      <c r="G6" s="4" t="n">
        <v>9800</v>
      </c>
    </row>
    <row r="7">
      <c r="A7" s="3" t="n">
        <v>205</v>
      </c>
      <c r="B7" s="3" t="inlineStr">
        <is>
          <t>Natasha Roy</t>
        </is>
      </c>
      <c r="C7" s="3" t="inlineStr">
        <is>
          <t>natasha.r@mail.com</t>
        </is>
      </c>
      <c r="D7" s="3" t="inlineStr">
        <is>
          <t>India</t>
        </is>
      </c>
      <c r="E7" s="3" t="inlineStr">
        <is>
          <t>2023-10-10</t>
        </is>
      </c>
      <c r="F7" s="3" t="n">
        <v>6</v>
      </c>
      <c r="G7" s="3" t="n">
        <v>12100</v>
      </c>
    </row>
    <row r="8">
      <c r="A8" s="4" t="n">
        <v>206</v>
      </c>
      <c r="B8" s="4" t="inlineStr">
        <is>
          <t>Omkar Jain</t>
        </is>
      </c>
      <c r="C8" s="4" t="inlineStr">
        <is>
          <t>omkar.j@mail.com</t>
        </is>
      </c>
      <c r="D8" s="4" t="inlineStr">
        <is>
          <t>India</t>
        </is>
      </c>
      <c r="E8" s="4" t="inlineStr">
        <is>
          <t>2024-01-05</t>
        </is>
      </c>
      <c r="F8" s="4" t="n">
        <v>2</v>
      </c>
      <c r="G8" s="4" t="n">
        <v>2998</v>
      </c>
    </row>
    <row r="9">
      <c r="A9" s="3" t="n">
        <v>207</v>
      </c>
      <c r="B9" s="3" t="inlineStr">
        <is>
          <t>Divya Krishnan</t>
        </is>
      </c>
      <c r="C9" s="3" t="inlineStr">
        <is>
          <t>divya.k@mail.com</t>
        </is>
      </c>
      <c r="D9" s="3" t="inlineStr">
        <is>
          <t>India</t>
        </is>
      </c>
      <c r="E9" s="3" t="inlineStr">
        <is>
          <t>2024-02-14</t>
        </is>
      </c>
      <c r="F9" s="3" t="n">
        <v>4</v>
      </c>
      <c r="G9" s="3" t="n">
        <v>6996</v>
      </c>
    </row>
    <row r="10">
      <c r="A10" s="4" t="n">
        <v>208</v>
      </c>
      <c r="B10" s="4" t="inlineStr">
        <is>
          <t>Aryan Mehta</t>
        </is>
      </c>
      <c r="C10" s="4" t="inlineStr">
        <is>
          <t>aryan.m@mail.com</t>
        </is>
      </c>
      <c r="D10" s="4" t="inlineStr">
        <is>
          <t>India</t>
        </is>
      </c>
      <c r="E10" s="4" t="inlineStr">
        <is>
          <t>2024-03-01</t>
        </is>
      </c>
      <c r="F10" s="4" t="n">
        <v>1</v>
      </c>
      <c r="G10" s="4" t="n">
        <v>2398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2026-04-19T15:04:48Z</dcterms:created>
  <dcterms:modified xmlns:dcterms="http://purl.org/dc/terms/" xmlns:xsi="http://www.w3.org/2001/XMLSchema-instance" xsi:type="dcterms:W3CDTF">2026-04-19T15:04:48Z</dcterms:modified>
</cp:coreProperties>
</file>