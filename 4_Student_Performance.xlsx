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Marks_Grades" sheetId="2" state="visible" r:id="rId2"/>
    <sheet xmlns:r="http://schemas.openxmlformats.org/officeDocument/2006/relationships"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8" customWidth="1" min="5" max="5"/>
    <col width="10" customWidth="1" min="6" max="6"/>
    <col width="14" customWidth="1" min="7" max="7"/>
  </cols>
  <sheetData>
    <row r="1" ht="28" customHeight="1">
      <c r="A1" s="1" t="inlineStr">
        <is>
          <t>Student Performance – Student Directory</t>
        </is>
      </c>
    </row>
    <row r="2">
      <c r="A2" s="2" t="inlineStr">
        <is>
          <t>Student 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Email</t>
        </is>
      </c>
      <c r="E2" s="2" t="inlineStr">
        <is>
          <t>Admission Year</t>
        </is>
      </c>
      <c r="F2" s="2" t="inlineStr">
        <is>
          <t>Gender</t>
        </is>
      </c>
      <c r="G2" s="2" t="inlineStr">
        <is>
          <t>Department</t>
        </is>
      </c>
    </row>
    <row r="3">
      <c r="A3" s="3" t="n">
        <v>1001</v>
      </c>
      <c r="B3" s="3" t="inlineStr">
        <is>
          <t>Aditya</t>
        </is>
      </c>
      <c r="C3" s="3" t="inlineStr">
        <is>
          <t>Sharma</t>
        </is>
      </c>
      <c r="D3" s="3" t="inlineStr">
        <is>
          <t>aditya.s@univ.edu</t>
        </is>
      </c>
      <c r="E3" s="3" t="n">
        <v>2022</v>
      </c>
      <c r="F3" s="3" t="inlineStr">
        <is>
          <t>M</t>
        </is>
      </c>
      <c r="G3" s="3" t="inlineStr">
        <is>
          <t>CSE</t>
        </is>
      </c>
    </row>
    <row r="4">
      <c r="A4" s="4" t="n">
        <v>1002</v>
      </c>
      <c r="B4" s="4" t="inlineStr">
        <is>
          <t>Bhavna</t>
        </is>
      </c>
      <c r="C4" s="4" t="inlineStr">
        <is>
          <t>Reddy</t>
        </is>
      </c>
      <c r="D4" s="4" t="inlineStr">
        <is>
          <t>bhavna.r@univ.edu</t>
        </is>
      </c>
      <c r="E4" s="4" t="n">
        <v>2022</v>
      </c>
      <c r="F4" s="4" t="inlineStr">
        <is>
          <t>F</t>
        </is>
      </c>
      <c r="G4" s="4" t="inlineStr">
        <is>
          <t>ECE</t>
        </is>
      </c>
    </row>
    <row r="5">
      <c r="A5" s="3" t="n">
        <v>1003</v>
      </c>
      <c r="B5" s="3" t="inlineStr">
        <is>
          <t>Chirag</t>
        </is>
      </c>
      <c r="C5" s="3" t="inlineStr">
        <is>
          <t>Patel</t>
        </is>
      </c>
      <c r="D5" s="3" t="inlineStr">
        <is>
          <t>chirag.p@univ.edu</t>
        </is>
      </c>
      <c r="E5" s="3" t="n">
        <v>2021</v>
      </c>
      <c r="F5" s="3" t="inlineStr">
        <is>
          <t>M</t>
        </is>
      </c>
      <c r="G5" s="3" t="inlineStr">
        <is>
          <t>CSE</t>
        </is>
      </c>
    </row>
    <row r="6">
      <c r="A6" s="4" t="n">
        <v>1004</v>
      </c>
      <c r="B6" s="4" t="inlineStr">
        <is>
          <t>Disha</t>
        </is>
      </c>
      <c r="C6" s="4" t="inlineStr">
        <is>
          <t>Iyer</t>
        </is>
      </c>
      <c r="D6" s="4" t="inlineStr">
        <is>
          <t>disha.i@univ.edu</t>
        </is>
      </c>
      <c r="E6" s="4" t="n">
        <v>2023</v>
      </c>
      <c r="F6" s="4" t="inlineStr">
        <is>
          <t>F</t>
        </is>
      </c>
      <c r="G6" s="4" t="inlineStr">
        <is>
          <t>MECH</t>
        </is>
      </c>
    </row>
    <row r="7">
      <c r="A7" s="3" t="n">
        <v>1005</v>
      </c>
      <c r="B7" s="3" t="inlineStr">
        <is>
          <t>Eshan</t>
        </is>
      </c>
      <c r="C7" s="3" t="inlineStr">
        <is>
          <t>Kumar</t>
        </is>
      </c>
      <c r="D7" s="3" t="inlineStr">
        <is>
          <t>eshan.k@univ.edu</t>
        </is>
      </c>
      <c r="E7" s="3" t="n">
        <v>2021</v>
      </c>
      <c r="F7" s="3" t="inlineStr">
        <is>
          <t>M</t>
        </is>
      </c>
      <c r="G7" s="3" t="inlineStr">
        <is>
          <t>CSE</t>
        </is>
      </c>
    </row>
    <row r="8">
      <c r="A8" s="4" t="n">
        <v>1006</v>
      </c>
      <c r="B8" s="4" t="inlineStr">
        <is>
          <t>Farida</t>
        </is>
      </c>
      <c r="C8" s="4" t="inlineStr">
        <is>
          <t>Begum</t>
        </is>
      </c>
      <c r="D8" s="4" t="inlineStr">
        <is>
          <t>farida.b@univ.edu</t>
        </is>
      </c>
      <c r="E8" s="4" t="n">
        <v>2022</v>
      </c>
      <c r="F8" s="4" t="inlineStr">
        <is>
          <t>F</t>
        </is>
      </c>
      <c r="G8" s="4" t="inlineStr">
        <is>
          <t>CIVIL</t>
        </is>
      </c>
    </row>
    <row r="9">
      <c r="A9" s="3" t="n">
        <v>1007</v>
      </c>
      <c r="B9" s="3" t="inlineStr">
        <is>
          <t>Gaurav</t>
        </is>
      </c>
      <c r="C9" s="3" t="inlineStr">
        <is>
          <t>Jain</t>
        </is>
      </c>
      <c r="D9" s="3" t="inlineStr">
        <is>
          <t>gaurav.j@univ.edu</t>
        </is>
      </c>
      <c r="E9" s="3" t="n">
        <v>2023</v>
      </c>
      <c r="F9" s="3" t="inlineStr">
        <is>
          <t>M</t>
        </is>
      </c>
      <c r="G9" s="3" t="inlineStr">
        <is>
          <t>ECE</t>
        </is>
      </c>
    </row>
    <row r="10">
      <c r="A10" s="4" t="n">
        <v>1008</v>
      </c>
      <c r="B10" s="4" t="inlineStr">
        <is>
          <t>Harini</t>
        </is>
      </c>
      <c r="C10" s="4" t="inlineStr">
        <is>
          <t>Pillai</t>
        </is>
      </c>
      <c r="D10" s="4" t="inlineStr">
        <is>
          <t>harini.p@univ.edu</t>
        </is>
      </c>
      <c r="E10" s="4" t="n">
        <v>2021</v>
      </c>
      <c r="F10" s="4" t="inlineStr">
        <is>
          <t>F</t>
        </is>
      </c>
      <c r="G10" s="4" t="inlineStr">
        <is>
          <t>CSE</t>
        </is>
      </c>
    </row>
    <row r="11">
      <c r="A11" s="3" t="n">
        <v>1009</v>
      </c>
      <c r="B11" s="3" t="inlineStr">
        <is>
          <t>Imran</t>
        </is>
      </c>
      <c r="C11" s="3" t="inlineStr">
        <is>
          <t>Sheikh</t>
        </is>
      </c>
      <c r="D11" s="3" t="inlineStr">
        <is>
          <t>imran.s@univ.edu</t>
        </is>
      </c>
      <c r="E11" s="3" t="n">
        <v>2022</v>
      </c>
      <c r="F11" s="3" t="inlineStr">
        <is>
          <t>M</t>
        </is>
      </c>
      <c r="G11" s="3" t="inlineStr">
        <is>
          <t>MECH</t>
        </is>
      </c>
    </row>
    <row r="12">
      <c r="A12" s="4" t="n">
        <v>1010</v>
      </c>
      <c r="B12" s="4" t="inlineStr">
        <is>
          <t>Jyothi</t>
        </is>
      </c>
      <c r="C12" s="4" t="inlineStr">
        <is>
          <t>Nair</t>
        </is>
      </c>
      <c r="D12" s="4" t="inlineStr">
        <is>
          <t>jyothi.n@univ.edu</t>
        </is>
      </c>
      <c r="E12" s="4" t="n">
        <v>2023</v>
      </c>
      <c r="F12" s="4" t="inlineStr">
        <is>
          <t>F</t>
        </is>
      </c>
      <c r="G12" s="4" t="inlineStr">
        <is>
          <t>CSE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 ht="28" customHeight="1">
      <c r="A1" s="1" t="inlineStr">
        <is>
          <t>Student Performance – Marks &amp; Grades</t>
        </is>
      </c>
    </row>
    <row r="2">
      <c r="A2" s="2" t="inlineStr">
        <is>
          <t>Student ID</t>
        </is>
      </c>
      <c r="B2" s="2" t="inlineStr">
        <is>
          <t>Student Name</t>
        </is>
      </c>
      <c r="C2" s="2" t="inlineStr">
        <is>
          <t>Course</t>
        </is>
      </c>
      <c r="D2" s="2" t="inlineStr">
        <is>
          <t>Midterm (40)</t>
        </is>
      </c>
      <c r="E2" s="2" t="inlineStr">
        <is>
          <t>Final (60)</t>
        </is>
      </c>
      <c r="F2" s="2" t="inlineStr">
        <is>
          <t>Total (100)</t>
        </is>
      </c>
      <c r="G2" s="2" t="inlineStr">
        <is>
          <t>Grade</t>
        </is>
      </c>
      <c r="H2" s="2" t="inlineStr">
        <is>
          <t>GPA Points</t>
        </is>
      </c>
      <c r="I2" s="2" t="inlineStr">
        <is>
          <t>Status</t>
        </is>
      </c>
    </row>
    <row r="3">
      <c r="A3" s="3" t="n">
        <v>1001</v>
      </c>
      <c r="B3" s="3" t="inlineStr">
        <is>
          <t>Aditya Sharma</t>
        </is>
      </c>
      <c r="C3" s="3" t="inlineStr">
        <is>
          <t>DBMS</t>
        </is>
      </c>
      <c r="D3" s="3" t="n">
        <v>35</v>
      </c>
      <c r="E3" s="3" t="n">
        <v>52</v>
      </c>
      <c r="F3" s="3">
        <f>D3+E3</f>
        <v/>
      </c>
      <c r="G3" s="3">
        <f>IF(F3&gt;=90,"A+",IF(F3&gt;=75,"A",IF(F3&gt;=60,"B",IF(F3&gt;=50,"C","F"))))</f>
        <v/>
      </c>
      <c r="H3" s="3">
        <f>IF(F3&gt;=90,10,IF(F3&gt;=75,9,IF(F3&gt;=60,8,IF(F3&gt;=50,7,0))))</f>
        <v/>
      </c>
      <c r="I3" s="3">
        <f>IF(F3&gt;=50,"PASS","FAIL")</f>
        <v/>
      </c>
    </row>
    <row r="4">
      <c r="A4" s="4" t="n">
        <v>1002</v>
      </c>
      <c r="B4" s="4" t="inlineStr">
        <is>
          <t>Bhavna Reddy</t>
        </is>
      </c>
      <c r="C4" s="4" t="inlineStr">
        <is>
          <t>DBMS</t>
        </is>
      </c>
      <c r="D4" s="4" t="n">
        <v>30</v>
      </c>
      <c r="E4" s="4" t="n">
        <v>40</v>
      </c>
      <c r="F4" s="4">
        <f>D4+E4</f>
        <v/>
      </c>
      <c r="G4" s="4">
        <f>IF(F4&gt;=90,"A+",IF(F4&gt;=75,"A",IF(F4&gt;=60,"B",IF(F4&gt;=50,"C","F"))))</f>
        <v/>
      </c>
      <c r="H4" s="4">
        <f>IF(F4&gt;=90,10,IF(F4&gt;=75,9,IF(F4&gt;=60,8,IF(F4&gt;=50,7,0))))</f>
        <v/>
      </c>
      <c r="I4" s="4">
        <f>IF(F4&gt;=50,"PASS","FAIL")</f>
        <v/>
      </c>
    </row>
    <row r="5">
      <c r="A5" s="3" t="n">
        <v>1003</v>
      </c>
      <c r="B5" s="3" t="inlineStr">
        <is>
          <t>Chirag Patel</t>
        </is>
      </c>
      <c r="C5" s="3" t="inlineStr">
        <is>
          <t>DBMS</t>
        </is>
      </c>
      <c r="D5" s="3" t="n">
        <v>38</v>
      </c>
      <c r="E5" s="3" t="n">
        <v>55</v>
      </c>
      <c r="F5" s="3">
        <f>D5+E5</f>
        <v/>
      </c>
      <c r="G5" s="3">
        <f>IF(F5&gt;=90,"A+",IF(F5&gt;=75,"A",IF(F5&gt;=60,"B",IF(F5&gt;=50,"C","F"))))</f>
        <v/>
      </c>
      <c r="H5" s="3">
        <f>IF(F5&gt;=90,10,IF(F5&gt;=75,9,IF(F5&gt;=60,8,IF(F5&gt;=50,7,0))))</f>
        <v/>
      </c>
      <c r="I5" s="3">
        <f>IF(F5&gt;=50,"PASS","FAIL")</f>
        <v/>
      </c>
    </row>
    <row r="6">
      <c r="A6" s="4" t="n">
        <v>1004</v>
      </c>
      <c r="B6" s="4" t="inlineStr">
        <is>
          <t>Disha Iyer</t>
        </is>
      </c>
      <c r="C6" s="4" t="inlineStr">
        <is>
          <t>DBMS</t>
        </is>
      </c>
      <c r="D6" s="4" t="n">
        <v>20</v>
      </c>
      <c r="E6" s="4" t="n">
        <v>25</v>
      </c>
      <c r="F6" s="4">
        <f>D6+E6</f>
        <v/>
      </c>
      <c r="G6" s="4">
        <f>IF(F6&gt;=90,"A+",IF(F6&gt;=75,"A",IF(F6&gt;=60,"B",IF(F6&gt;=50,"C","F"))))</f>
        <v/>
      </c>
      <c r="H6" s="4">
        <f>IF(F6&gt;=90,10,IF(F6&gt;=75,9,IF(F6&gt;=60,8,IF(F6&gt;=50,7,0))))</f>
        <v/>
      </c>
      <c r="I6" s="4">
        <f>IF(F6&gt;=50,"PASS","FAIL")</f>
        <v/>
      </c>
    </row>
    <row r="7">
      <c r="A7" s="3" t="n">
        <v>1005</v>
      </c>
      <c r="B7" s="3" t="inlineStr">
        <is>
          <t>Eshan Kumar</t>
        </is>
      </c>
      <c r="C7" s="3" t="inlineStr">
        <is>
          <t>DBMS</t>
        </is>
      </c>
      <c r="D7" s="3" t="n">
        <v>40</v>
      </c>
      <c r="E7" s="3" t="n">
        <v>58</v>
      </c>
      <c r="F7" s="3">
        <f>D7+E7</f>
        <v/>
      </c>
      <c r="G7" s="3">
        <f>IF(F7&gt;=90,"A+",IF(F7&gt;=75,"A",IF(F7&gt;=60,"B",IF(F7&gt;=50,"C","F"))))</f>
        <v/>
      </c>
      <c r="H7" s="3">
        <f>IF(F7&gt;=90,10,IF(F7&gt;=75,9,IF(F7&gt;=60,8,IF(F7&gt;=50,7,0))))</f>
        <v/>
      </c>
      <c r="I7" s="3">
        <f>IF(F7&gt;=50,"PASS","FAIL")</f>
        <v/>
      </c>
    </row>
    <row r="8">
      <c r="A8" s="4" t="n">
        <v>1006</v>
      </c>
      <c r="B8" s="4" t="inlineStr">
        <is>
          <t>Farida Begum</t>
        </is>
      </c>
      <c r="C8" s="4" t="inlineStr">
        <is>
          <t>DBMS</t>
        </is>
      </c>
      <c r="D8" s="4" t="n">
        <v>33</v>
      </c>
      <c r="E8" s="4" t="n">
        <v>48</v>
      </c>
      <c r="F8" s="4">
        <f>D8+E8</f>
        <v/>
      </c>
      <c r="G8" s="4">
        <f>IF(F8&gt;=90,"A+",IF(F8&gt;=75,"A",IF(F8&gt;=60,"B",IF(F8&gt;=50,"C","F"))))</f>
        <v/>
      </c>
      <c r="H8" s="4">
        <f>IF(F8&gt;=90,10,IF(F8&gt;=75,9,IF(F8&gt;=60,8,IF(F8&gt;=50,7,0))))</f>
        <v/>
      </c>
      <c r="I8" s="4">
        <f>IF(F8&gt;=50,"PASS","FAIL")</f>
        <v/>
      </c>
    </row>
    <row r="9">
      <c r="A9" s="3" t="n">
        <v>1007</v>
      </c>
      <c r="B9" s="3" t="inlineStr">
        <is>
          <t>Gaurav Jain</t>
        </is>
      </c>
      <c r="C9" s="3" t="inlineStr">
        <is>
          <t>DBMS</t>
        </is>
      </c>
      <c r="D9" s="3" t="n">
        <v>36</v>
      </c>
      <c r="E9" s="3" t="n">
        <v>53</v>
      </c>
      <c r="F9" s="3">
        <f>D9+E9</f>
        <v/>
      </c>
      <c r="G9" s="3">
        <f>IF(F9&gt;=90,"A+",IF(F9&gt;=75,"A",IF(F9&gt;=60,"B",IF(F9&gt;=50,"C","F"))))</f>
        <v/>
      </c>
      <c r="H9" s="3">
        <f>IF(F9&gt;=90,10,IF(F9&gt;=75,9,IF(F9&gt;=60,8,IF(F9&gt;=50,7,0))))</f>
        <v/>
      </c>
      <c r="I9" s="3">
        <f>IF(F9&gt;=50,"PASS","FAIL")</f>
        <v/>
      </c>
    </row>
    <row r="10">
      <c r="A10" s="4" t="n">
        <v>1008</v>
      </c>
      <c r="B10" s="4" t="inlineStr">
        <is>
          <t>Harini Pillai</t>
        </is>
      </c>
      <c r="C10" s="4" t="inlineStr">
        <is>
          <t>DBMS</t>
        </is>
      </c>
      <c r="D10" s="4" t="n">
        <v>39</v>
      </c>
      <c r="E10" s="4" t="n">
        <v>59</v>
      </c>
      <c r="F10" s="4">
        <f>D10+E10</f>
        <v/>
      </c>
      <c r="G10" s="4">
        <f>IF(F10&gt;=90,"A+",IF(F10&gt;=75,"A",IF(F10&gt;=60,"B",IF(F10&gt;=50,"C","F"))))</f>
        <v/>
      </c>
      <c r="H10" s="4">
        <f>IF(F10&gt;=90,10,IF(F10&gt;=75,9,IF(F10&gt;=60,8,IF(F10&gt;=50,7,0))))</f>
        <v/>
      </c>
      <c r="I10" s="4">
        <f>IF(F10&gt;=50,"PASS","FAIL")</f>
        <v/>
      </c>
    </row>
    <row r="11">
      <c r="A11" s="3" t="n">
        <v>1009</v>
      </c>
      <c r="B11" s="3" t="inlineStr">
        <is>
          <t>Imran Sheikh</t>
        </is>
      </c>
      <c r="C11" s="3" t="inlineStr">
        <is>
          <t>DBMS</t>
        </is>
      </c>
      <c r="D11" s="3" t="n">
        <v>22</v>
      </c>
      <c r="E11" s="3" t="n">
        <v>28</v>
      </c>
      <c r="F11" s="3">
        <f>D11+E11</f>
        <v/>
      </c>
      <c r="G11" s="3">
        <f>IF(F11&gt;=90,"A+",IF(F11&gt;=75,"A",IF(F11&gt;=60,"B",IF(F11&gt;=50,"C","F"))))</f>
        <v/>
      </c>
      <c r="H11" s="3">
        <f>IF(F11&gt;=90,10,IF(F11&gt;=75,9,IF(F11&gt;=60,8,IF(F11&gt;=50,7,0))))</f>
        <v/>
      </c>
      <c r="I11" s="3">
        <f>IF(F11&gt;=50,"PASS","FAIL")</f>
        <v/>
      </c>
    </row>
    <row r="12">
      <c r="A12" s="4" t="n">
        <v>1010</v>
      </c>
      <c r="B12" s="4" t="inlineStr">
        <is>
          <t>Jyothi Nair</t>
        </is>
      </c>
      <c r="C12" s="4" t="inlineStr">
        <is>
          <t>DBMS</t>
        </is>
      </c>
      <c r="D12" s="4" t="n">
        <v>37</v>
      </c>
      <c r="E12" s="4" t="n">
        <v>56</v>
      </c>
      <c r="F12" s="4">
        <f>D12+E12</f>
        <v/>
      </c>
      <c r="G12" s="4">
        <f>IF(F12&gt;=90,"A+",IF(F12&gt;=75,"A",IF(F12&gt;=60,"B",IF(F12&gt;=50,"C","F"))))</f>
        <v/>
      </c>
      <c r="H12" s="4">
        <f>IF(F12&gt;=90,10,IF(F12&gt;=75,9,IF(F12&gt;=60,8,IF(F12&gt;=50,7,0))))</f>
        <v/>
      </c>
      <c r="I12" s="4">
        <f>IF(F12&gt;=50,"PASS","FAIL")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1" t="inlineStr">
        <is>
          <t>Student Performance – Attendance Records</t>
        </is>
      </c>
    </row>
    <row r="2">
      <c r="A2" s="2" t="inlineStr">
        <is>
          <t>Student ID</t>
        </is>
      </c>
      <c r="B2" s="2" t="inlineStr">
        <is>
          <t>Student Name</t>
        </is>
      </c>
      <c r="C2" s="2" t="inlineStr">
        <is>
          <t>Course</t>
        </is>
      </c>
      <c r="D2" s="2" t="inlineStr">
        <is>
          <t>Total Classes</t>
        </is>
      </c>
      <c r="E2" s="2" t="inlineStr">
        <is>
          <t>Attended</t>
        </is>
      </c>
      <c r="F2" s="2" t="inlineStr">
        <is>
          <t>Attendance %</t>
        </is>
      </c>
      <c r="G2" s="2" t="inlineStr">
        <is>
          <t>Status</t>
        </is>
      </c>
    </row>
    <row r="3">
      <c r="A3" s="3" t="n">
        <v>1001</v>
      </c>
      <c r="B3" s="3" t="inlineStr">
        <is>
          <t>Aditya Sharma</t>
        </is>
      </c>
      <c r="C3" s="3" t="inlineStr">
        <is>
          <t>DBMS</t>
        </is>
      </c>
      <c r="D3" s="3" t="n">
        <v>40</v>
      </c>
      <c r="E3" s="3" t="n">
        <v>38</v>
      </c>
      <c r="F3" s="3">
        <f>E3/D3</f>
        <v/>
      </c>
      <c r="G3" s="3">
        <f>IF(F3&gt;=0.75,"OK","SHORTAGE")</f>
        <v/>
      </c>
    </row>
    <row r="4">
      <c r="A4" s="4" t="n">
        <v>1002</v>
      </c>
      <c r="B4" s="4" t="inlineStr">
        <is>
          <t>Bhavna Reddy</t>
        </is>
      </c>
      <c r="C4" s="4" t="inlineStr">
        <is>
          <t>DBMS</t>
        </is>
      </c>
      <c r="D4" s="4" t="n">
        <v>40</v>
      </c>
      <c r="E4" s="4" t="n">
        <v>28</v>
      </c>
      <c r="F4" s="4">
        <f>E4/D4</f>
        <v/>
      </c>
      <c r="G4" s="4">
        <f>IF(F4&gt;=0.75,"OK","SHORTAGE")</f>
        <v/>
      </c>
    </row>
    <row r="5">
      <c r="A5" s="3" t="n">
        <v>1003</v>
      </c>
      <c r="B5" s="3" t="inlineStr">
        <is>
          <t>Chirag Patel</t>
        </is>
      </c>
      <c r="C5" s="3" t="inlineStr">
        <is>
          <t>DBMS</t>
        </is>
      </c>
      <c r="D5" s="3" t="n">
        <v>40</v>
      </c>
      <c r="E5" s="3" t="n">
        <v>36</v>
      </c>
      <c r="F5" s="3">
        <f>E5/D5</f>
        <v/>
      </c>
      <c r="G5" s="3">
        <f>IF(F5&gt;=0.75,"OK","SHORTAGE")</f>
        <v/>
      </c>
    </row>
    <row r="6">
      <c r="A6" s="4" t="n">
        <v>1004</v>
      </c>
      <c r="B6" s="4" t="inlineStr">
        <is>
          <t>Disha Iyer</t>
        </is>
      </c>
      <c r="C6" s="4" t="inlineStr">
        <is>
          <t>DBMS</t>
        </is>
      </c>
      <c r="D6" s="4" t="n">
        <v>40</v>
      </c>
      <c r="E6" s="4" t="n">
        <v>22</v>
      </c>
      <c r="F6" s="4">
        <f>E6/D6</f>
        <v/>
      </c>
      <c r="G6" s="4">
        <f>IF(F6&gt;=0.75,"OK","SHORTAGE")</f>
        <v/>
      </c>
    </row>
    <row r="7">
      <c r="A7" s="3" t="n">
        <v>1005</v>
      </c>
      <c r="B7" s="3" t="inlineStr">
        <is>
          <t>Eshan Kumar</t>
        </is>
      </c>
      <c r="C7" s="3" t="inlineStr">
        <is>
          <t>DBMS</t>
        </is>
      </c>
      <c r="D7" s="3" t="n">
        <v>40</v>
      </c>
      <c r="E7" s="3" t="n">
        <v>40</v>
      </c>
      <c r="F7" s="3">
        <f>E7/D7</f>
        <v/>
      </c>
      <c r="G7" s="3">
        <f>IF(F7&gt;=0.75,"OK","SHORTAGE")</f>
        <v/>
      </c>
    </row>
    <row r="8">
      <c r="A8" s="4" t="n">
        <v>1006</v>
      </c>
      <c r="B8" s="4" t="inlineStr">
        <is>
          <t>Farida Begum</t>
        </is>
      </c>
      <c r="C8" s="4" t="inlineStr">
        <is>
          <t>DBMS</t>
        </is>
      </c>
      <c r="D8" s="4" t="n">
        <v>40</v>
      </c>
      <c r="E8" s="4" t="n">
        <v>30</v>
      </c>
      <c r="F8" s="4">
        <f>E8/D8</f>
        <v/>
      </c>
      <c r="G8" s="4">
        <f>IF(F8&gt;=0.75,"OK","SHORTAGE")</f>
        <v/>
      </c>
    </row>
    <row r="9">
      <c r="A9" s="3" t="n">
        <v>1007</v>
      </c>
      <c r="B9" s="3" t="inlineStr">
        <is>
          <t>Gaurav Jain</t>
        </is>
      </c>
      <c r="C9" s="3" t="inlineStr">
        <is>
          <t>DBMS</t>
        </is>
      </c>
      <c r="D9" s="3" t="n">
        <v>40</v>
      </c>
      <c r="E9" s="3" t="n">
        <v>34</v>
      </c>
      <c r="F9" s="3">
        <f>E9/D9</f>
        <v/>
      </c>
      <c r="G9" s="3">
        <f>IF(F9&gt;=0.75,"OK","SHORTAGE")</f>
        <v/>
      </c>
    </row>
    <row r="10">
      <c r="A10" s="4" t="n">
        <v>1008</v>
      </c>
      <c r="B10" s="4" t="inlineStr">
        <is>
          <t>Harini Pillai</t>
        </is>
      </c>
      <c r="C10" s="4" t="inlineStr">
        <is>
          <t>DBMS</t>
        </is>
      </c>
      <c r="D10" s="4" t="n">
        <v>40</v>
      </c>
      <c r="E10" s="4" t="n">
        <v>39</v>
      </c>
      <c r="F10" s="4">
        <f>E10/D10</f>
        <v/>
      </c>
      <c r="G10" s="4">
        <f>IF(F10&gt;=0.75,"OK","SHORTAGE")</f>
        <v/>
      </c>
    </row>
    <row r="11">
      <c r="A11" s="3" t="n">
        <v>1009</v>
      </c>
      <c r="B11" s="3" t="inlineStr">
        <is>
          <t>Imran Sheikh</t>
        </is>
      </c>
      <c r="C11" s="3" t="inlineStr">
        <is>
          <t>DBMS</t>
        </is>
      </c>
      <c r="D11" s="3" t="n">
        <v>40</v>
      </c>
      <c r="E11" s="3" t="n">
        <v>20</v>
      </c>
      <c r="F11" s="3">
        <f>E11/D11</f>
        <v/>
      </c>
      <c r="G11" s="3">
        <f>IF(F11&gt;=0.75,"OK","SHORTAGE")</f>
        <v/>
      </c>
    </row>
    <row r="12">
      <c r="A12" s="4" t="n">
        <v>1010</v>
      </c>
      <c r="B12" s="4" t="inlineStr">
        <is>
          <t>Jyothi Nair</t>
        </is>
      </c>
      <c r="C12" s="4" t="inlineStr">
        <is>
          <t>DBMS</t>
        </is>
      </c>
      <c r="D12" s="4" t="n">
        <v>40</v>
      </c>
      <c r="E12" s="4" t="n">
        <v>35</v>
      </c>
      <c r="F12" s="4">
        <f>E12/D12</f>
        <v/>
      </c>
      <c r="G12" s="4">
        <f>IF(F12&gt;=0.75,"OK","SHORTAGE")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2026-04-19T15:04:49Z</dcterms:created>
  <dcterms:modified xmlns:dcterms="http://purl.org/dc/terms/" xmlns:xsi="http://www.w3.org/2001/XMLSchema-instance" xsi:type="dcterms:W3CDTF">2026-04-19T15:04:49Z</dcterms:modified>
</cp:coreProperties>
</file>